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f82533db0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imbursements" sheetId="1" r:id="Re3ba7e6e7988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468347f4e4425" /><Relationship Type="http://schemas.openxmlformats.org/officeDocument/2006/relationships/theme" Target="/xl/theme/theme1.xml" Id="R40f2a89ce9ed4ead" /><Relationship Type="http://schemas.openxmlformats.org/officeDocument/2006/relationships/sharedStrings" Target="/xl/sharedStrings.xml" Id="R0252749773c24009" /><Relationship Type="http://schemas.openxmlformats.org/officeDocument/2006/relationships/worksheet" Target="/xl/worksheets/sheet1.xml" Id="Re3ba7e6e798842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3" hidden="0" customWidth="1"/>
    <x:col min="4" max="4" width="18" hidden="0" customWidth="1"/>
    <x:col min="5" max="5" width="17" hidden="0" customWidth="1"/>
    <x:col min="6" max="6" width="18" hidden="0" customWidth="1"/>
    <x:col min="7" max="7" width="21" hidden="0" customWidth="1"/>
  </x:cols>
  <x:sheetData>
    <x:row r="1" ht="24" customHeight="1">
      <x:c r="A1" s="6" t="str">
        <x:v>Request ID</x:v>
      </x:c>
      <x:c r="B1" s="6" t="str">
        <x:v>Workshop</x:v>
      </x:c>
      <x:c r="C1" s="6" t="str">
        <x:v>Supply Category</x:v>
      </x:c>
      <x:c r="D1" s="6" t="str">
        <x:v>Materials Cost</x:v>
      </x:c>
      <x:c r="E1" s="6" t="str">
        <x:v>Shipping Cost</x:v>
      </x:c>
      <x:c r="F1" s="6" t="str">
        <x:v>Sponsor Credit</x:v>
      </x:c>
      <x:c r="G1" s="6" t="str">
        <x:v>Net Reimbursement</x:v>
      </x:c>
    </x:row>
    <x:row r="2">
      <x:c r="A2" s="7" t="str">
        <x:v>CWS-2401</x:v>
      </x:c>
      <x:c r="B2" s="7" t="str">
        <x:v>Clay Studio Basics</x:v>
      </x:c>
      <x:c r="C2" s="7" t="str">
        <x:v>Ceramic Tools</x:v>
      </x:c>
      <x:c r="D2" s="8" t="n">
        <x:v>184.5</x:v>
      </x:c>
      <x:c r="E2" s="8" t="n">
        <x:v>16.25</x:v>
      </x:c>
      <x:c r="F2" s="8" t="n">
        <x:v>25</x:v>
      </x:c>
      <x:c r="G2" s="8" t="n">
        <x:f>D2+E2-F2</x:f>
        <x:v>175.75</x:v>
      </x:c>
    </x:row>
    <x:row r="3">
      <x:c r="A3" s="7" t="str">
        <x:v>CWS-2402</x:v>
      </x:c>
      <x:c r="B3" s="7" t="str">
        <x:v>Neighborhood Print Lab</x:v>
      </x:c>
      <x:c r="C3" s="7" t="str">
        <x:v>Ink and Paper</x:v>
      </x:c>
      <x:c r="D3" s="8" t="n">
        <x:v>236.8</x:v>
      </x:c>
      <x:c r="E3" s="8" t="n">
        <x:v>22.4</x:v>
      </x:c>
      <x:c r="F3" s="8" t="n">
        <x:v>30</x:v>
      </x:c>
      <x:c r="G3" s="8"/>
    </x:row>
    <x:row r="4">
      <x:c r="A4" s="7" t="str">
        <x:v>CWS-2403</x:v>
      </x:c>
      <x:c r="B4" s="7" t="str">
        <x:v>Youth Woodworking</x:v>
      </x:c>
      <x:c r="C4" s="7" t="str">
        <x:v>Safety Equipment</x:v>
      </x:c>
      <x:c r="D4" s="8" t="n">
        <x:v>312.6</x:v>
      </x:c>
      <x:c r="E4" s="8" t="n">
        <x:v>28.75</x:v>
      </x:c>
      <x:c r="F4" s="8" t="n">
        <x:v>45</x:v>
      </x:c>
      <x:c r="G4" s="8"/>
    </x:row>
    <x:row r="5">
      <x:c r="A5" s="7" t="str">
        <x:v>CWS-2404</x:v>
      </x:c>
      <x:c r="B5" s="7" t="str">
        <x:v>Community Garden Build</x:v>
      </x:c>
      <x:c r="C5" s="7" t="str">
        <x:v>Fasteners</x:v>
      </x:c>
      <x:c r="D5" s="8" t="n">
        <x:v>148.35</x:v>
      </x:c>
      <x:c r="E5" s="8" t="n">
        <x:v>14.9</x:v>
      </x:c>
      <x:c r="F5" s="8" t="n">
        <x:v>20</x:v>
      </x:c>
      <x:c r="G5" s="8"/>
    </x:row>
    <x:row r="6">
      <x:c r="A6" s="7" t="str">
        <x:v>CWS-2405</x:v>
      </x:c>
      <x:c r="B6" s="7" t="str">
        <x:v>Internal Materials Test</x:v>
      </x:c>
      <x:c r="C6" s="7" t="str">
        <x:v>Sample Supplies</x:v>
      </x:c>
      <x:c r="D6" s="8" t="n">
        <x:v>96.4</x:v>
      </x:c>
      <x:c r="E6" s="8" t="n">
        <x:v>11.6</x:v>
      </x:c>
      <x:c r="F6" s="8" t="n">
        <x:v>15</x:v>
      </x:c>
      <x:c r="G6" s="8"/>
    </x:row>
    <x:row r="7">
      <x:c r="A7" s="7" t="str">
        <x:v>CWS-2406</x:v>
      </x:c>
      <x:c r="B7" s="7" t="str">
        <x:v>Textile Repair Circle</x:v>
      </x:c>
      <x:c r="C7" s="7" t="str">
        <x:v>Fabric and Thread</x:v>
      </x:c>
      <x:c r="D7" s="8" t="n">
        <x:v>275.25</x:v>
      </x:c>
      <x:c r="E7" s="8" t="n">
        <x:v>19.95</x:v>
      </x:c>
      <x:c r="F7" s="8" t="n">
        <x:v>35</x:v>
      </x:c>
      <x:c r="G7" s="8"/>
    </x:row>
    <x:row r="8">
      <x:c r="A8" s="7" t="str">
        <x:v>CWS-2407</x:v>
      </x:c>
      <x:c r="B8" s="7" t="str">
        <x:v>Open Electronics Bench</x:v>
      </x:c>
      <x:c r="C8" s="7" t="str">
        <x:v>Soldering Supplies</x:v>
      </x:c>
      <x:c r="D8" s="8" t="n">
        <x:v>421.7</x:v>
      </x:c>
      <x:c r="E8" s="8" t="n">
        <x:v>31.2</x:v>
      </x:c>
      <x:c r="F8" s="8" t="n">
        <x:v>60</x:v>
      </x:c>
      <x:c r="G8" s="8"/>
    </x:row>
    <x:row r="9">
      <x:c r="A9" s="7" t="str">
        <x:v>CWS-2408</x:v>
      </x:c>
      <x:c r="B9" s="7" t="str">
        <x:v>Mural Design Session</x:v>
      </x:c>
      <x:c r="C9" s="7" t="str">
        <x:v>Paint and Brushes</x:v>
      </x:c>
      <x:c r="D9" s="8" t="n">
        <x:v>358.9</x:v>
      </x:c>
      <x:c r="E9" s="8" t="n">
        <x:v>26.5</x:v>
      </x:c>
      <x:c r="F9" s="8" t="n">
        <x:v>50</x:v>
      </x:c>
      <x:c r="G9" s="8"/>
    </x:row>
    <x:row r="10">
      <x:c r="A10" s="7" t="str">
        <x:v>CWS-2409</x:v>
      </x:c>
      <x:c r="B10" s="7" t="str">
        <x:v>Kitchen Skills Lab</x:v>
      </x:c>
      <x:c r="C10" s="7" t="str">
        <x:v>Utensils</x:v>
      </x:c>
      <x:c r="D10" s="8" t="n">
        <x:v>167.45</x:v>
      </x:c>
      <x:c r="E10" s="8" t="n">
        <x:v>18.3</x:v>
      </x:c>
      <x:c r="F10" s="8" t="n">
        <x:v>22</x:v>
      </x:c>
      <x:c r="G10" s="8"/>
    </x:row>
    <x:row r="11">
      <x:c r="A11" s="7" t="str">
        <x:v>CWS-2410</x:v>
      </x:c>
      <x:c r="B11" s="7" t="str">
        <x:v>Bike Maintenance Clinic</x:v>
      </x:c>
      <x:c r="C11" s="7" t="str">
        <x:v>Replacement Parts</x:v>
      </x:c>
      <x:c r="D11" s="8" t="n">
        <x:v>489.35</x:v>
      </x:c>
      <x:c r="E11" s="8" t="n">
        <x:v>34.65</x:v>
      </x:c>
      <x:c r="F11" s="8" t="n">
        <x:v>75</x:v>
      </x:c>
      <x:c r="G11" s="8"/>
    </x:row>
    <x:row r="12">
      <x:c r="A12" s="7" t="str">
        <x:v>CWS-2411</x:v>
      </x:c>
      <x:c r="B12" s="7" t="str">
        <x:v>Bookbinding Workshop</x:v>
      </x:c>
      <x:c r="C12" s="7" t="str">
        <x:v>Paper Stock</x:v>
      </x:c>
      <x:c r="D12" s="8" t="n">
        <x:v>214.2</x:v>
      </x:c>
      <x:c r="E12" s="8" t="n">
        <x:v>17.8</x:v>
      </x:c>
      <x:c r="F12" s="8" t="n">
        <x:v>28</x:v>
      </x:c>
      <x:c r="G12" s="8"/>
    </x:row>
    <x:row r="13">
      <x:c r="A13" s="7" t="str">
        <x:v>CWS-2412</x:v>
      </x:c>
      <x:c r="B13" s="7" t="str">
        <x:v>Internal Checkout Test</x:v>
      </x:c>
      <x:c r="C13" s="7" t="str">
        <x:v>Label Supplies</x:v>
      </x:c>
      <x:c r="D13" s="8" t="n">
        <x:v>83.75</x:v>
      </x:c>
      <x:c r="E13" s="8" t="n">
        <x:v>9.25</x:v>
      </x:c>
      <x:c r="F13" s="8" t="n">
        <x:v>12</x:v>
      </x:c>
      <x:c r="G13" s="8"/>
    </x:row>
    <x:row r="14">
      <x:c r="A14" s="7" t="str">
        <x:v>CWS-2413</x:v>
      </x:c>
      <x:c r="B14" s="7" t="str">
        <x:v>Screen Printing Studio</x:v>
      </x:c>
      <x:c r="C14" s="7" t="str">
        <x:v>Mesh and Emulsion</x:v>
      </x:c>
      <x:c r="D14" s="8" t="n">
        <x:v>396.6</x:v>
      </x:c>
      <x:c r="E14" s="8" t="n">
        <x:v>29.4</x:v>
      </x:c>
      <x:c r="F14" s="8" t="n">
        <x:v>55</x:v>
      </x:c>
      <x:c r="G14" s="8"/>
    </x:row>
    <x:row r="15">
      <x:c r="A15" s="7" t="str">
        <x:v>CWS-2414</x:v>
      </x:c>
      <x:c r="B15" s="7" t="str">
        <x:v>Intro to Metalwork</x:v>
      </x:c>
      <x:c r="C15" s="7" t="str">
        <x:v>Grinding Discs</x:v>
      </x:c>
      <x:c r="D15" s="8" t="n">
        <x:v>257.85</x:v>
      </x:c>
      <x:c r="E15" s="8" t="n">
        <x:v>21.15</x:v>
      </x:c>
      <x:c r="F15" s="8" t="n">
        <x:v>40</x:v>
      </x:c>
      <x:c r="G15" s="8"/>
    </x:row>
    <x:row r="16">
      <x:c r="A16" s="7" t="str">
        <x:v>CWS-2415</x:v>
      </x:c>
      <x:c r="B16" s="7" t="str">
        <x:v>Community Sewing Day</x:v>
      </x:c>
      <x:c r="C16" s="7" t="str">
        <x:v>Needles and Notions</x:v>
      </x:c>
      <x:c r="D16" s="8" t="n">
        <x:v>193.3</x:v>
      </x:c>
      <x:c r="E16" s="8" t="n">
        <x:v>15.7</x:v>
      </x:c>
      <x:c r="F16" s="8" t="n">
        <x:v>25</x:v>
      </x:c>
      <x:c r="G16" s="8"/>
    </x:row>
    <x:row r="17">
      <x:c r="A17" s="7" t="str">
        <x:v>CWS-2416</x:v>
      </x:c>
      <x:c r="B17" s="7" t="str">
        <x:v>Photography Walk</x:v>
      </x:c>
      <x:c r="C17" s="7" t="str">
        <x:v>Mounting Materials</x:v>
      </x:c>
      <x:c r="D17" s="8" t="n">
        <x:v>228.95</x:v>
      </x:c>
      <x:c r="E17" s="8" t="n">
        <x:v>20.05</x:v>
      </x:c>
      <x:c r="F17" s="8" t="n">
        <x:v>30</x:v>
      </x:c>
      <x:c r="G17" s="8"/>
    </x:row>
    <x:row r="18">
      <x:c r="A18" s="7" t="str">
        <x:v>CWS-2417</x:v>
      </x:c>
      <x:c r="B18" s="7" t="str">
        <x:v>Furniture Repair Lab</x:v>
      </x:c>
      <x:c r="C18" s="7" t="str">
        <x:v>Wood Adhesive</x:v>
      </x:c>
      <x:c r="D18" s="8" t="n">
        <x:v>341.4</x:v>
      </x:c>
      <x:c r="E18" s="8" t="n">
        <x:v>24.6</x:v>
      </x:c>
      <x:c r="F18" s="8" t="n">
        <x:v>48</x:v>
      </x:c>
      <x:c r="G18" s="8"/>
    </x:row>
    <x:row r="19">
      <x:c r="A19" s="7" t="str">
        <x:v>CWS-2418</x:v>
      </x:c>
      <x:c r="B19" s="7" t="str">
        <x:v>Robotics Open House</x:v>
      </x:c>
      <x:c r="C19" s="7" t="str">
        <x:v>Connector Kits</x:v>
      </x:c>
      <x:c r="D19" s="8" t="n">
        <x:v>465.8</x:v>
      </x:c>
      <x:c r="E19" s="8" t="n">
        <x:v>33.2</x:v>
      </x:c>
      <x:c r="F19" s="8" t="n">
        <x:v>70</x:v>
      </x:c>
      <x:c r="G19" s="8"/>
    </x:row>
    <x:row r="20">
      <x:c r="A20" s="7" t="str">
        <x:v>CWS-2419</x:v>
      </x:c>
      <x:c r="B20" s="7" t="str">
        <x:v>Internal Vendor Test</x:v>
      </x:c>
      <x:c r="C20" s="7" t="str">
        <x:v>Packaging Samples</x:v>
      </x:c>
      <x:c r="D20" s="8" t="n">
        <x:v>74.5</x:v>
      </x:c>
      <x:c r="E20" s="8" t="n">
        <x:v>8.5</x:v>
      </x:c>
      <x:c r="F20" s="8" t="n">
        <x:v>10</x:v>
      </x:c>
      <x:c r="G20" s="8"/>
    </x:row>
    <x:row r="21">
      <x:c r="A21" s="7" t="str">
        <x:v>CWS-2420</x:v>
      </x:c>
      <x:c r="B21" s="7" t="str">
        <x:v>Paper Craft Afternoon</x:v>
      </x:c>
      <x:c r="C21" s="7" t="str">
        <x:v>Cutting Mats</x:v>
      </x:c>
      <x:c r="D21" s="8" t="n">
        <x:v>156.65</x:v>
      </x:c>
      <x:c r="E21" s="8" t="n">
        <x:v>13.35</x:v>
      </x:c>
      <x:c r="F21" s="8" t="n">
        <x:v>18</x:v>
      </x:c>
      <x:c r="G21" s="8"/>
    </x:row>
    <x:row r="22">
      <x:c r="A22" s="7" t="str">
        <x:v>CWS-2421</x:v>
      </x:c>
      <x:c r="B22" s="7" t="str">
        <x:v>Community Audio Lab</x:v>
      </x:c>
      <x:c r="C22" s="7" t="str">
        <x:v>Cable Supplies</x:v>
      </x:c>
      <x:c r="D22" s="8" t="n">
        <x:v>304.75</x:v>
      </x:c>
      <x:c r="E22" s="8" t="n">
        <x:v>25.25</x:v>
      </x:c>
      <x:c r="F22" s="8" t="n">
        <x:v>42</x:v>
      </x:c>
      <x:c r="G22" s="8"/>
    </x:row>
    <x:row r="23">
      <x:c r="A23" s="7" t="str">
        <x:v>CWS-2422</x:v>
      </x:c>
      <x:c r="B23" s="7" t="str">
        <x:v>Glass Mosaic Class</x:v>
      </x:c>
      <x:c r="C23" s="7" t="str">
        <x:v>Tile Adhesive</x:v>
      </x:c>
      <x:c r="D23" s="8" t="n">
        <x:v>287.9</x:v>
      </x:c>
      <x:c r="E23" s="8" t="n">
        <x:v>23.1</x:v>
      </x:c>
      <x:c r="F23" s="8" t="n">
        <x:v>38</x:v>
      </x:c>
      <x:c r="G23" s="8"/>
    </x:row>
    <x:row r="24">
      <x:c r="A24" s="7" t="str">
        <x:v>CWS-2423</x:v>
      </x:c>
      <x:c r="B24" s="7" t="str">
        <x:v>Tool Sharpening Demo</x:v>
      </x:c>
      <x:c r="C24" s="7" t="str">
        <x:v>Sharpening Stones</x:v>
      </x:c>
      <x:c r="D24" s="8" t="n">
        <x:v>132.4</x:v>
      </x:c>
      <x:c r="E24" s="8" t="n">
        <x:v>12.6</x:v>
      </x:c>
      <x:c r="F24" s="8" t="n">
        <x:v>16</x:v>
      </x:c>
      <x:c r="G24" s="8"/>
    </x:row>
    <x:row r="25">
      <x:c r="A25" s="7" t="str">
        <x:v>CWS-2424</x:v>
      </x:c>
      <x:c r="B25" s="7" t="str">
        <x:v>Natural Dye Workshop</x:v>
      </x:c>
      <x:c r="C25" s="7" t="str">
        <x:v>Dye Materials</x:v>
      </x:c>
      <x:c r="D25" s="8" t="n">
        <x:v>369.55</x:v>
      </x:c>
      <x:c r="E25" s="8" t="n">
        <x:v>27.45</x:v>
      </x:c>
      <x:c r="F25" s="8" t="n">
        <x:v>52</x:v>
      </x:c>
      <x:c r="G25" s="8"/>
    </x:row>
    <x:row r="26">
      <x:c r="A26" s="7"/>
      <x:c r="B26" s="7"/>
      <x:c r="C26" s="7"/>
      <x:c r="D26" s="8"/>
      <x:c r="E26" s="8"/>
      <x:c r="F26" s="8"/>
      <x:c r="G26" s="8"/>
    </x:row>
    <x:row r="27">
      <x:c r="A27" s="7"/>
      <x:c r="B27" s="7"/>
      <x:c r="C27" s="7"/>
      <x:c r="D27" s="8"/>
      <x:c r="E27" s="8"/>
      <x:c r="F27" s="8" t="str">
        <x:f>"Total Reimbursement"</x:f>
        <x:v>Total Reimbursement</x:v>
      </x:c>
      <x:c r="G27" s="8"/>
    </x:row>
    <x:row r="28">
      <x:c r="A28" s="9"/>
      <x:c r="B28" s="9"/>
      <x:c r="C28" s="9"/>
      <x:c r="D28" s="10"/>
      <x:c r="E28" s="10"/>
      <x:c r="F28" s="10"/>
      <x:c r="G28" s="10"/>
    </x:row>
  </x:sheetData>
  <x:pageMargins left="0.7" right="0.7" top="0.75" bottom="0.75" header="0.3" footer="0.3"/>
</x:worksheet>
</file>